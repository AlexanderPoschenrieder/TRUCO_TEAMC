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pedrazz\Dropbox\Oficina (1)\Truco\"/>
    </mc:Choice>
  </mc:AlternateContent>
  <bookViews>
    <workbookView xWindow="0" yWindow="0" windowWidth="28800" windowHeight="1243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P25" i="1"/>
  <c r="P24" i="1" l="1"/>
  <c r="P23" i="1"/>
  <c r="P22" i="1"/>
  <c r="B23" i="1" l="1"/>
  <c r="B22" i="1"/>
  <c r="B21" i="1"/>
  <c r="B20" i="1"/>
  <c r="C23" i="1" l="1"/>
  <c r="C20" i="1"/>
  <c r="C21" i="1"/>
  <c r="C22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  <c r="K3" i="1" l="1"/>
  <c r="J3" i="1"/>
  <c r="I3" i="1"/>
  <c r="H3" i="1"/>
  <c r="D15" i="1"/>
  <c r="D16" i="1"/>
  <c r="D13" i="1"/>
  <c r="D14" i="1"/>
  <c r="D10" i="1"/>
  <c r="D11" i="1"/>
  <c r="D12" i="1"/>
  <c r="D9" i="1"/>
  <c r="D6" i="1"/>
  <c r="D7" i="1"/>
  <c r="D4" i="1"/>
  <c r="D8" i="1"/>
  <c r="D3" i="1"/>
  <c r="D5" i="1"/>
  <c r="D1" i="1"/>
  <c r="D2" i="1"/>
  <c r="K7" i="1" l="1"/>
  <c r="J7" i="1"/>
  <c r="I7" i="1"/>
  <c r="H7" i="1"/>
  <c r="K6" i="1"/>
  <c r="I6" i="1"/>
  <c r="J6" i="1"/>
  <c r="H6" i="1"/>
  <c r="K5" i="1"/>
  <c r="J5" i="1"/>
  <c r="K4" i="1"/>
  <c r="J4" i="1"/>
  <c r="I5" i="1"/>
  <c r="I4" i="1"/>
  <c r="H5" i="1"/>
  <c r="H4" i="1"/>
  <c r="K8" i="1" l="1"/>
  <c r="H8" i="1"/>
  <c r="I8" i="1"/>
  <c r="J8" i="1"/>
  <c r="J10" i="1"/>
  <c r="K10" i="1"/>
  <c r="I10" i="1"/>
  <c r="H10" i="1"/>
  <c r="H15" i="1"/>
  <c r="J15" i="1"/>
  <c r="K15" i="1"/>
  <c r="I15" i="1"/>
  <c r="J9" i="1"/>
  <c r="K9" i="1"/>
  <c r="I9" i="1"/>
  <c r="H9" i="1"/>
  <c r="H28" i="1"/>
  <c r="J28" i="1"/>
  <c r="K29" i="1"/>
  <c r="K28" i="1"/>
  <c r="J29" i="1"/>
  <c r="I28" i="1"/>
  <c r="I29" i="1"/>
  <c r="H29" i="1"/>
  <c r="K16" i="1"/>
  <c r="J16" i="1"/>
  <c r="I16" i="1"/>
  <c r="H16" i="1"/>
  <c r="K12" i="1"/>
  <c r="H12" i="1"/>
  <c r="J12" i="1"/>
  <c r="I12" i="1"/>
  <c r="I13" i="1"/>
  <c r="H13" i="1"/>
  <c r="K11" i="1"/>
  <c r="K13" i="1"/>
  <c r="J11" i="1"/>
  <c r="J13" i="1"/>
  <c r="H11" i="1"/>
  <c r="I11" i="1"/>
  <c r="L8" i="1" l="1"/>
  <c r="L29" i="1"/>
  <c r="L16" i="1"/>
  <c r="L10" i="1"/>
  <c r="L15" i="1"/>
  <c r="L13" i="1"/>
  <c r="L12" i="1"/>
  <c r="L11" i="1"/>
  <c r="L9" i="1"/>
  <c r="H17" i="1" l="1"/>
</calcChain>
</file>

<file path=xl/sharedStrings.xml><?xml version="1.0" encoding="utf-8"?>
<sst xmlns="http://schemas.openxmlformats.org/spreadsheetml/2006/main" count="79" uniqueCount="37">
  <si>
    <t>Cruz</t>
  </si>
  <si>
    <t>Creichmon</t>
  </si>
  <si>
    <t>Lohrman</t>
  </si>
  <si>
    <t>Laguzzi</t>
  </si>
  <si>
    <t>Colino</t>
  </si>
  <si>
    <t>Rocha</t>
  </si>
  <si>
    <t>Poyen</t>
  </si>
  <si>
    <t>Freddy</t>
  </si>
  <si>
    <t>Alumine</t>
  </si>
  <si>
    <t>Calise</t>
  </si>
  <si>
    <t>Lauri</t>
  </si>
  <si>
    <t>Pacho</t>
  </si>
  <si>
    <t>Nachito</t>
  </si>
  <si>
    <t>Sam</t>
  </si>
  <si>
    <t>Eleazar</t>
  </si>
  <si>
    <t>Rose</t>
  </si>
  <si>
    <t>Laure</t>
  </si>
  <si>
    <t>Nico</t>
  </si>
  <si>
    <t>Team A</t>
  </si>
  <si>
    <t>Team B</t>
  </si>
  <si>
    <t>Team D</t>
  </si>
  <si>
    <t>Team C</t>
  </si>
  <si>
    <t>TEAM</t>
  </si>
  <si>
    <t>Headquarter</t>
  </si>
  <si>
    <t>Nano</t>
  </si>
  <si>
    <t>T3</t>
  </si>
  <si>
    <t>Chess</t>
  </si>
  <si>
    <t>Fishbowl</t>
  </si>
  <si>
    <t>Global Dev</t>
  </si>
  <si>
    <t>Global Tardiis</t>
  </si>
  <si>
    <t>TL</t>
  </si>
  <si>
    <t>No Truco</t>
  </si>
  <si>
    <t>Hidden 1</t>
  </si>
  <si>
    <t>Hidden 2</t>
  </si>
  <si>
    <t>-</t>
  </si>
  <si>
    <t>Juan</t>
  </si>
  <si>
    <t>Count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</si>
</sst>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3" fillId="0" borderId="1" applyNumberFormat="0" applyFill="0" applyAlignment="0" applyProtection="0"/>
    <xf numFmtId="0" fontId="1" fillId="5" borderId="0" applyNumberFormat="0" applyBorder="0" applyAlignment="0" applyProtection="0"/>
  </cellStyleXfs>
  <cellXfs count="11">
    <xf numFmtId="0" fontId="0" fillId="0" borderId="0" xfId="0"/>
    <xf numFmtId="0" fontId="1" fillId="3" borderId="0" xfId="2"/>
    <xf numFmtId="0" fontId="2" fillId="4" borderId="0" xfId="3"/>
    <xf numFmtId="0" fontId="2" fillId="2" borderId="0" xfId="1"/>
    <xf numFmtId="0" fontId="0" fillId="3" borderId="0" xfId="2" applyFont="1"/>
    <xf numFmtId="0" fontId="1" fillId="5" borderId="0" xfId="5"/>
    <xf numFmtId="0" fontId="1" fillId="5" borderId="0" xfId="5" applyAlignment="1">
      <alignment horizontal="center"/>
    </xf>
    <xf numFmtId="0" fontId="3" fillId="0" borderId="1" xfId="4" applyAlignment="1">
      <alignment horizontal="center"/>
    </xf>
    <xf numFmtId="0" fontId="4" fillId="0" borderId="0" xfId="0" applyFont="1"/>
    <xf numFmtId="0" fontId="0" fillId="3" borderId="0" xfId="2" quotePrefix="1" applyFont="1"/>
    <xf numFmtId="0" fontId="2" fillId="4" borderId="0" xfId="3" quotePrefix="1"/>
  </cellXfs>
  <cellStyles count="6">
    <cellStyle name="20% - Accent3" xfId="5" builtinId="38"/>
    <cellStyle name="40% - Accent1" xfId="2" builtinId="31"/>
    <cellStyle name="60% - Accent1" xfId="3" builtinId="32"/>
    <cellStyle name="Accent1" xfId="1" builtinId="29"/>
    <cellStyle name="Normal" xfId="0" builtinId="0"/>
    <cellStyle name="Total" xfId="4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20</xdr:row>
      <xdr:rowOff>9525</xdr:rowOff>
    </xdr:from>
    <xdr:to>
      <xdr:col>9</xdr:col>
      <xdr:colOff>47625</xdr:colOff>
      <xdr:row>22</xdr:row>
      <xdr:rowOff>123825</xdr:rowOff>
    </xdr:to>
    <xdr:sp macro="[0]!_xludf.Run" textlink="">
      <xdr:nvSpPr>
        <xdr:cNvPr id="2" name="Rectangle 1"/>
        <xdr:cNvSpPr/>
      </xdr:nvSpPr>
      <xdr:spPr>
        <a:xfrm>
          <a:off x="5638800" y="3819525"/>
          <a:ext cx="1200150" cy="49530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RUN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2"/>
  <sheetViews>
    <sheetView tabSelected="1" topLeftCell="G1" workbookViewId="0">
      <selection activeCell="M1" sqref="M1:T1048576"/>
    </sheetView>
  </sheetViews>
  <sheetFormatPr defaultColWidth="11.42578125" defaultRowHeight="15" x14ac:dyDescent="0.25"/>
  <cols>
    <col min="1" max="1" width="14.42578125" hidden="1" customWidth="1"/>
    <col min="2" max="2" width="7.28515625" hidden="1" customWidth="1"/>
    <col min="3" max="3" width="11.42578125" hidden="1" customWidth="1"/>
    <col min="4" max="4" width="7.28515625" hidden="1" customWidth="1"/>
    <col min="5" max="6" width="11.42578125" hidden="1" customWidth="1"/>
    <col min="7" max="7" width="15.7109375" customWidth="1"/>
    <col min="8" max="11" width="13.5703125" customWidth="1"/>
    <col min="13" max="20" width="11.42578125" hidden="1" customWidth="1"/>
  </cols>
  <sheetData>
    <row r="1" spans="1:17" ht="27" customHeight="1" thickBot="1" x14ac:dyDescent="0.3">
      <c r="A1" s="9" t="s">
        <v>34</v>
      </c>
      <c r="B1" s="1">
        <v>1</v>
      </c>
      <c r="C1" s="1">
        <f ca="1">RAND()</f>
        <v>0.36699936058409433</v>
      </c>
      <c r="D1" s="1">
        <f ca="1">RANK(C1,C$1:C$8)</f>
        <v>5</v>
      </c>
      <c r="E1" s="9" t="s">
        <v>34</v>
      </c>
      <c r="G1" s="7" t="s">
        <v>22</v>
      </c>
      <c r="H1" s="7" t="s">
        <v>18</v>
      </c>
      <c r="I1" s="7" t="s">
        <v>19</v>
      </c>
      <c r="J1" s="7" t="s">
        <v>21</v>
      </c>
      <c r="K1" s="7" t="s">
        <v>20</v>
      </c>
      <c r="M1">
        <v>1</v>
      </c>
      <c r="N1" t="s">
        <v>13</v>
      </c>
      <c r="P1" s="1" t="s">
        <v>1</v>
      </c>
      <c r="Q1">
        <v>1</v>
      </c>
    </row>
    <row r="2" spans="1:17" ht="27" customHeight="1" thickTop="1" x14ac:dyDescent="0.25">
      <c r="A2" s="1" t="s">
        <v>0</v>
      </c>
      <c r="B2" s="1">
        <v>1</v>
      </c>
      <c r="C2" s="1">
        <f t="shared" ref="C2:C16" ca="1" si="0">RAND()</f>
        <v>0.97293425868774008</v>
      </c>
      <c r="D2" s="1">
        <f t="shared" ref="D2:D8" ca="1" si="1">RANK(C2,C$1:C$8)</f>
        <v>3</v>
      </c>
      <c r="E2" s="1" t="s">
        <v>0</v>
      </c>
      <c r="G2" s="5" t="s">
        <v>23</v>
      </c>
      <c r="H2" s="6" t="s">
        <v>24</v>
      </c>
      <c r="I2" s="6" t="s">
        <v>27</v>
      </c>
      <c r="J2" s="6" t="s">
        <v>25</v>
      </c>
      <c r="K2" s="6" t="s">
        <v>26</v>
      </c>
      <c r="N2" t="s">
        <v>15</v>
      </c>
      <c r="P2" s="1" t="s">
        <v>0</v>
      </c>
      <c r="Q2">
        <v>1</v>
      </c>
    </row>
    <row r="3" spans="1:17" ht="27" customHeight="1" x14ac:dyDescent="0.25">
      <c r="A3" s="4" t="s">
        <v>35</v>
      </c>
      <c r="B3" s="1">
        <v>1</v>
      </c>
      <c r="C3" s="1">
        <f t="shared" ca="1" si="0"/>
        <v>0.2237616920716915</v>
      </c>
      <c r="D3" s="1">
        <f t="shared" ca="1" si="1"/>
        <v>6</v>
      </c>
      <c r="E3" s="4" t="s">
        <v>35</v>
      </c>
      <c r="G3" s="8"/>
      <c r="H3" s="8" t="str">
        <f ca="1">VLOOKUP(1,$C$20:$D$23,2,FALSE)</f>
        <v>Rose</v>
      </c>
      <c r="I3" s="8" t="str">
        <f ca="1">VLOOKUP(2,$C$20:$D$23,2,FALSE)</f>
        <v>Laure</v>
      </c>
      <c r="J3" s="8" t="str">
        <f ca="1">VLOOKUP(3,$C$20:$D$23,2,FALSE)</f>
        <v>Eleazar</v>
      </c>
      <c r="K3" s="8" t="str">
        <f ca="1">VLOOKUP(4,$C$20:$D$23,2,FALSE)</f>
        <v>Nico</v>
      </c>
      <c r="N3" t="s">
        <v>7</v>
      </c>
      <c r="P3" s="3" t="s">
        <v>2</v>
      </c>
      <c r="Q3">
        <v>1</v>
      </c>
    </row>
    <row r="4" spans="1:17" ht="27" customHeight="1" x14ac:dyDescent="0.25">
      <c r="A4" s="1" t="s">
        <v>4</v>
      </c>
      <c r="B4" s="1">
        <v>1</v>
      </c>
      <c r="C4" s="1">
        <f t="shared" ca="1" si="0"/>
        <v>0.21006395263947497</v>
      </c>
      <c r="D4" s="1">
        <f t="shared" ca="1" si="1"/>
        <v>7</v>
      </c>
      <c r="E4" s="1" t="s">
        <v>4</v>
      </c>
      <c r="G4" s="8"/>
      <c r="H4" s="8" t="str">
        <f ca="1">VLOOKUP(1,$D$1:$E$8,2,FALSE)</f>
        <v>Calise</v>
      </c>
      <c r="I4" s="8" t="str">
        <f ca="1">VLOOKUP(3,$D$1:$E$8,2,FALSE)</f>
        <v>Cruz</v>
      </c>
      <c r="J4" s="8" t="str">
        <f ca="1">VLOOKUP(5,$D$1:$E$8,2,FALSE)</f>
        <v>-</v>
      </c>
      <c r="K4" s="8" t="str">
        <f ca="1">VLOOKUP(7,$D$1:$E$8,2,FALSE)</f>
        <v>Colino</v>
      </c>
      <c r="N4" t="s">
        <v>35</v>
      </c>
      <c r="P4" s="3" t="s">
        <v>3</v>
      </c>
      <c r="Q4">
        <v>1</v>
      </c>
    </row>
    <row r="5" spans="1:17" ht="27" customHeight="1" x14ac:dyDescent="0.25">
      <c r="A5" s="1" t="s">
        <v>9</v>
      </c>
      <c r="B5" s="1">
        <v>1</v>
      </c>
      <c r="C5" s="1">
        <f t="shared" ca="1" si="0"/>
        <v>0.99751469489637401</v>
      </c>
      <c r="D5" s="1">
        <f t="shared" ca="1" si="1"/>
        <v>1</v>
      </c>
      <c r="E5" s="1" t="s">
        <v>9</v>
      </c>
      <c r="G5" s="8"/>
      <c r="H5" s="8" t="str">
        <f ca="1">VLOOKUP(2,$D$1:$E$8,2,FALSE)</f>
        <v>-</v>
      </c>
      <c r="I5" s="8" t="str">
        <f ca="1">VLOOKUP(4,$D$1:$E$8,2,FALSE)</f>
        <v>Lauri</v>
      </c>
      <c r="J5" s="8" t="str">
        <f ca="1">VLOOKUP(6,$D$1:$E$8,2,FALSE)</f>
        <v>Juan</v>
      </c>
      <c r="K5" s="8" t="str">
        <f ca="1">VLOOKUP(8,$D$1:$E$8,2,FALSE)</f>
        <v>Sam</v>
      </c>
      <c r="P5" s="4" t="s">
        <v>35</v>
      </c>
      <c r="Q5">
        <v>1</v>
      </c>
    </row>
    <row r="6" spans="1:17" ht="27" customHeight="1" x14ac:dyDescent="0.25">
      <c r="A6" s="1" t="s">
        <v>10</v>
      </c>
      <c r="B6" s="1">
        <v>1</v>
      </c>
      <c r="C6" s="1">
        <f t="shared" ca="1" si="0"/>
        <v>0.9247114452846007</v>
      </c>
      <c r="D6" s="1">
        <f t="shared" ca="1" si="1"/>
        <v>4</v>
      </c>
      <c r="E6" s="1" t="s">
        <v>10</v>
      </c>
      <c r="G6" s="8"/>
      <c r="H6" s="8" t="str">
        <f ca="1">VLOOKUP(1,$D$9:$E$12,2,FALSE)</f>
        <v>Alumine</v>
      </c>
      <c r="I6" s="8" t="str">
        <f ca="1">VLOOKUP(2,$D$9:$E$12,2,FALSE)</f>
        <v>Rocha</v>
      </c>
      <c r="J6" s="8" t="str">
        <f ca="1">VLOOKUP(3,$D$9:$E$12,2,FALSE)</f>
        <v>Pacho</v>
      </c>
      <c r="K6" s="8" t="str">
        <f ca="1">VLOOKUP(4,$D$9:$E$12,2,FALSE)</f>
        <v>Nachito</v>
      </c>
      <c r="P6" s="1" t="s">
        <v>4</v>
      </c>
      <c r="Q6">
        <v>2</v>
      </c>
    </row>
    <row r="7" spans="1:17" ht="27" customHeight="1" x14ac:dyDescent="0.25">
      <c r="A7" s="9" t="s">
        <v>34</v>
      </c>
      <c r="B7" s="1">
        <v>1</v>
      </c>
      <c r="C7" s="1">
        <f t="shared" ca="1" si="0"/>
        <v>0.99496174948122973</v>
      </c>
      <c r="D7" s="1">
        <f t="shared" ca="1" si="1"/>
        <v>2</v>
      </c>
      <c r="E7" s="9" t="s">
        <v>34</v>
      </c>
      <c r="G7" s="8"/>
      <c r="H7" s="8" t="str">
        <f ca="1">VLOOKUP(1,$D$13:$E$16,2,FALSE)</f>
        <v>Lohrman</v>
      </c>
      <c r="I7" s="8" t="str">
        <f ca="1">VLOOKUP(2,$D$13:$E$16,2,FALSE)</f>
        <v>Freddy</v>
      </c>
      <c r="J7" s="8" t="str">
        <f ca="1">VLOOKUP(3,$D$13:$E$16,2,FALSE)</f>
        <v>Poyen</v>
      </c>
      <c r="K7" s="8" t="str">
        <f ca="1">VLOOKUP(4,$D$13:$E$16,2,FALSE)</f>
        <v>Laguzzi</v>
      </c>
      <c r="P7" s="4" t="s">
        <v>13</v>
      </c>
      <c r="Q7">
        <v>2</v>
      </c>
    </row>
    <row r="8" spans="1:17" x14ac:dyDescent="0.25">
      <c r="A8" s="4" t="s">
        <v>13</v>
      </c>
      <c r="B8" s="1">
        <v>1</v>
      </c>
      <c r="C8" s="1">
        <f t="shared" ca="1" si="0"/>
        <v>5.7054242195558325E-2</v>
      </c>
      <c r="D8" s="1">
        <f t="shared" ca="1" si="1"/>
        <v>8</v>
      </c>
      <c r="E8" s="4" t="s">
        <v>13</v>
      </c>
      <c r="G8" t="s">
        <v>36</v>
      </c>
      <c r="H8">
        <f ca="1">COUNTIF(H3:H7,"-")</f>
        <v>1</v>
      </c>
      <c r="I8">
        <f t="shared" ref="I8:K8" ca="1" si="2">COUNTIF(I3:I7,"-")</f>
        <v>0</v>
      </c>
      <c r="J8">
        <f t="shared" ca="1" si="2"/>
        <v>1</v>
      </c>
      <c r="K8">
        <f t="shared" ca="1" si="2"/>
        <v>0</v>
      </c>
      <c r="L8" t="b">
        <f ca="1">MAX(H8:K8)&lt;2</f>
        <v>1</v>
      </c>
      <c r="P8" s="2" t="s">
        <v>5</v>
      </c>
      <c r="Q8">
        <v>2</v>
      </c>
    </row>
    <row r="9" spans="1:17" x14ac:dyDescent="0.25">
      <c r="A9" s="2" t="s">
        <v>5</v>
      </c>
      <c r="B9" s="2">
        <v>2</v>
      </c>
      <c r="C9" s="2">
        <f t="shared" ca="1" si="0"/>
        <v>0.66779201060206017</v>
      </c>
      <c r="D9" s="2">
        <f ca="1">RANK(C9,$C$9:$C$12)</f>
        <v>2</v>
      </c>
      <c r="E9" s="2" t="s">
        <v>5</v>
      </c>
      <c r="G9" t="s">
        <v>28</v>
      </c>
      <c r="H9">
        <f ca="1">SUMPRODUCT(COUNTIF(H$4:H$7,$P1:$P5))</f>
        <v>1</v>
      </c>
      <c r="I9">
        <f t="shared" ref="I9:K9" ca="1" si="3">SUMPRODUCT(COUNTIF(I$4:I$7,$P1:$P5))</f>
        <v>1</v>
      </c>
      <c r="J9">
        <f t="shared" ca="1" si="3"/>
        <v>1</v>
      </c>
      <c r="K9">
        <f t="shared" ca="1" si="3"/>
        <v>1</v>
      </c>
      <c r="L9" t="b">
        <f ca="1">MAX(H9:K9)&lt;3</f>
        <v>1</v>
      </c>
      <c r="P9" s="2" t="s">
        <v>8</v>
      </c>
      <c r="Q9">
        <v>2</v>
      </c>
    </row>
    <row r="10" spans="1:17" x14ac:dyDescent="0.25">
      <c r="A10" s="2" t="s">
        <v>8</v>
      </c>
      <c r="B10" s="2">
        <v>2</v>
      </c>
      <c r="C10" s="2">
        <f t="shared" ca="1" si="0"/>
        <v>0.87362928348465974</v>
      </c>
      <c r="D10" s="2">
        <f t="shared" ref="D10:D12" ca="1" si="4">RANK(C10,$C$9:$C$12)</f>
        <v>1</v>
      </c>
      <c r="E10" s="2" t="s">
        <v>8</v>
      </c>
      <c r="G10" t="s">
        <v>29</v>
      </c>
      <c r="H10">
        <f ca="1">SUMPRODUCT(COUNTIF(H$4:H$7,$P6:$P11))</f>
        <v>1</v>
      </c>
      <c r="I10">
        <f t="shared" ref="I10:K10" ca="1" si="5">SUMPRODUCT(COUNTIF(I$4:I$7,$P6:$P11))</f>
        <v>2</v>
      </c>
      <c r="J10">
        <f t="shared" ca="1" si="5"/>
        <v>1</v>
      </c>
      <c r="K10">
        <f t="shared" ca="1" si="5"/>
        <v>2</v>
      </c>
      <c r="L10" t="b">
        <f t="shared" ref="L10:L11" ca="1" si="6">MAX(H10:K10)&lt;3</f>
        <v>1</v>
      </c>
      <c r="P10" s="3" t="s">
        <v>6</v>
      </c>
      <c r="Q10">
        <v>2</v>
      </c>
    </row>
    <row r="11" spans="1:17" x14ac:dyDescent="0.25">
      <c r="A11" s="2" t="s">
        <v>11</v>
      </c>
      <c r="B11" s="2">
        <v>2</v>
      </c>
      <c r="C11" s="2">
        <f t="shared" ca="1" si="0"/>
        <v>0.55746088374048686</v>
      </c>
      <c r="D11" s="2">
        <f t="shared" ca="1" si="4"/>
        <v>3</v>
      </c>
      <c r="E11" s="2" t="s">
        <v>11</v>
      </c>
      <c r="G11" t="s">
        <v>25</v>
      </c>
      <c r="H11">
        <f ca="1">SUMPRODUCT(COUNTIF(H$4:H$7,$P13:$P16))</f>
        <v>1</v>
      </c>
      <c r="I11">
        <f t="shared" ref="I11:K11" ca="1" si="7">SUMPRODUCT(COUNTIF(I$4:I$7,$P13:$P16))</f>
        <v>1</v>
      </c>
      <c r="J11">
        <f t="shared" ca="1" si="7"/>
        <v>2</v>
      </c>
      <c r="K11">
        <f t="shared" ca="1" si="7"/>
        <v>1</v>
      </c>
      <c r="L11" t="b">
        <f t="shared" ca="1" si="6"/>
        <v>1</v>
      </c>
      <c r="P11" s="3" t="s">
        <v>7</v>
      </c>
      <c r="Q11">
        <v>2</v>
      </c>
    </row>
    <row r="12" spans="1:17" x14ac:dyDescent="0.25">
      <c r="A12" s="2" t="s">
        <v>12</v>
      </c>
      <c r="B12" s="2">
        <v>2</v>
      </c>
      <c r="C12" s="2">
        <f t="shared" ca="1" si="0"/>
        <v>0.1967823825432844</v>
      </c>
      <c r="D12" s="2">
        <f t="shared" ca="1" si="4"/>
        <v>4</v>
      </c>
      <c r="E12" s="2" t="s">
        <v>12</v>
      </c>
      <c r="G12" t="s">
        <v>30</v>
      </c>
      <c r="H12">
        <f ca="1">SUMPRODUCT(COUNTIF(H$4:H$7,$P22:$P26))</f>
        <v>1</v>
      </c>
      <c r="I12">
        <f t="shared" ref="I12:K12" ca="1" si="8">SUMPRODUCT(COUNTIF(I$4:I$7,$P22:$P26))</f>
        <v>1</v>
      </c>
      <c r="J12">
        <f t="shared" ca="1" si="8"/>
        <v>1</v>
      </c>
      <c r="K12">
        <f t="shared" ca="1" si="8"/>
        <v>0</v>
      </c>
      <c r="L12" t="b">
        <f ca="1">MAX(H12:K12)&lt;2</f>
        <v>1</v>
      </c>
      <c r="P12" s="1" t="s">
        <v>9</v>
      </c>
      <c r="Q12">
        <v>3</v>
      </c>
    </row>
    <row r="13" spans="1:17" x14ac:dyDescent="0.25">
      <c r="A13" s="3" t="s">
        <v>2</v>
      </c>
      <c r="B13" s="3">
        <v>3</v>
      </c>
      <c r="C13" s="3">
        <f t="shared" ca="1" si="0"/>
        <v>0.55609009762456163</v>
      </c>
      <c r="D13" s="3">
        <f ca="1">RANK(C13,$C$13:$C$16)</f>
        <v>1</v>
      </c>
      <c r="E13" s="3" t="s">
        <v>2</v>
      </c>
      <c r="G13" t="s">
        <v>28</v>
      </c>
      <c r="H13">
        <f ca="1">SUMPRODUCT(COUNTIF(H$4:H$7,$P1:$P2))</f>
        <v>0</v>
      </c>
      <c r="I13">
        <f t="shared" ref="I13:K13" ca="1" si="9">SUMPRODUCT(COUNTIF(I$4:I$7,$P1:$P2))</f>
        <v>1</v>
      </c>
      <c r="J13">
        <f t="shared" ca="1" si="9"/>
        <v>0</v>
      </c>
      <c r="K13">
        <f t="shared" ca="1" si="9"/>
        <v>0</v>
      </c>
      <c r="L13" t="b">
        <f ca="1">MAX(H13:K13)&lt;2</f>
        <v>1</v>
      </c>
      <c r="P13" s="1" t="s">
        <v>10</v>
      </c>
      <c r="Q13">
        <v>4</v>
      </c>
    </row>
    <row r="14" spans="1:17" x14ac:dyDescent="0.25">
      <c r="A14" s="3" t="s">
        <v>3</v>
      </c>
      <c r="B14" s="3">
        <v>3</v>
      </c>
      <c r="C14" s="3">
        <f t="shared" ca="1" si="0"/>
        <v>5.1031586212211599E-2</v>
      </c>
      <c r="D14" s="3">
        <f t="shared" ref="D14:D16" ca="1" si="10">RANK(C14,$C$13:$C$16)</f>
        <v>4</v>
      </c>
      <c r="E14" s="3" t="s">
        <v>3</v>
      </c>
      <c r="G14" t="s">
        <v>29</v>
      </c>
      <c r="L14" t="b">
        <f t="shared" ref="L14:L15" si="11">MAX(H14:K14)&lt;2</f>
        <v>1</v>
      </c>
      <c r="P14" s="2" t="s">
        <v>11</v>
      </c>
      <c r="Q14">
        <v>4</v>
      </c>
    </row>
    <row r="15" spans="1:17" x14ac:dyDescent="0.25">
      <c r="A15" s="3" t="s">
        <v>6</v>
      </c>
      <c r="B15" s="3">
        <v>3</v>
      </c>
      <c r="C15" s="3">
        <f t="shared" ca="1" si="0"/>
        <v>0.11910050951091045</v>
      </c>
      <c r="D15" s="3">
        <f t="shared" ca="1" si="10"/>
        <v>3</v>
      </c>
      <c r="E15" s="3" t="s">
        <v>6</v>
      </c>
      <c r="G15" t="s">
        <v>25</v>
      </c>
      <c r="H15">
        <f ca="1">SUMPRODUCT(COUNTIF(H$4:H$7,$P13:$P14))</f>
        <v>0</v>
      </c>
      <c r="I15">
        <f t="shared" ref="I15:K15" ca="1" si="12">SUMPRODUCT(COUNTIF(I$4:I$7,$P13:$P14))</f>
        <v>1</v>
      </c>
      <c r="J15">
        <f t="shared" ca="1" si="12"/>
        <v>1</v>
      </c>
      <c r="K15">
        <f t="shared" ca="1" si="12"/>
        <v>0</v>
      </c>
      <c r="L15" t="b">
        <f t="shared" ca="1" si="11"/>
        <v>1</v>
      </c>
      <c r="P15" s="10" t="s">
        <v>34</v>
      </c>
      <c r="Q15">
        <v>4</v>
      </c>
    </row>
    <row r="16" spans="1:17" x14ac:dyDescent="0.25">
      <c r="A16" s="3" t="s">
        <v>7</v>
      </c>
      <c r="B16" s="3">
        <v>3</v>
      </c>
      <c r="C16" s="3">
        <f t="shared" ca="1" si="0"/>
        <v>0.48229175526420165</v>
      </c>
      <c r="D16" s="3">
        <f t="shared" ca="1" si="10"/>
        <v>2</v>
      </c>
      <c r="E16" s="3" t="s">
        <v>7</v>
      </c>
      <c r="G16" t="s">
        <v>31</v>
      </c>
      <c r="H16">
        <f ca="1">SUMPRODUCT(COUNTIF(H$3:H$7,($N1:$N20)))</f>
        <v>1</v>
      </c>
      <c r="I16">
        <f ca="1">SUMPRODUCT(COUNTIF(I$3:I$7,($N1:$N20)))</f>
        <v>1</v>
      </c>
      <c r="J16">
        <f ca="1">SUMPRODUCT(COUNTIF(J$3:J$7,($N1:$N20)))</f>
        <v>1</v>
      </c>
      <c r="K16">
        <f ca="1">SUMPRODUCT(COUNTIF(K$3:K$7,($N1:$N20)))</f>
        <v>1</v>
      </c>
      <c r="L16" t="b">
        <f ca="1">MAX(H16:K16)&lt;=M1</f>
        <v>1</v>
      </c>
      <c r="P16" s="2" t="s">
        <v>12</v>
      </c>
      <c r="Q16">
        <v>4</v>
      </c>
    </row>
    <row r="17" spans="2:17" x14ac:dyDescent="0.25">
      <c r="H17" t="b">
        <f ca="1">AND(L8:L16,L29)</f>
        <v>1</v>
      </c>
    </row>
    <row r="19" spans="2:17" x14ac:dyDescent="0.25">
      <c r="Q19" t="s">
        <v>10</v>
      </c>
    </row>
    <row r="20" spans="2:17" x14ac:dyDescent="0.25">
      <c r="B20" s="3">
        <f t="shared" ref="B20:B23" ca="1" si="13">RAND()</f>
        <v>0.14772317277886537</v>
      </c>
      <c r="C20" s="3">
        <f ca="1">RANK(B20,B$20:$B$23)</f>
        <v>3</v>
      </c>
      <c r="D20" t="s">
        <v>14</v>
      </c>
      <c r="Q20" t="s">
        <v>4</v>
      </c>
    </row>
    <row r="21" spans="2:17" x14ac:dyDescent="0.25">
      <c r="B21" s="3">
        <f t="shared" ca="1" si="13"/>
        <v>0.52112623290148641</v>
      </c>
      <c r="C21" s="3">
        <f ca="1">RANK(B21,B$20:$B$23)</f>
        <v>1</v>
      </c>
      <c r="D21" t="s">
        <v>15</v>
      </c>
    </row>
    <row r="22" spans="2:17" x14ac:dyDescent="0.25">
      <c r="B22" s="3">
        <f t="shared" ca="1" si="13"/>
        <v>0.39789785976536529</v>
      </c>
      <c r="C22" s="3">
        <f ca="1">RANK(B22,B$20:$B$23)</f>
        <v>2</v>
      </c>
      <c r="D22" t="s">
        <v>16</v>
      </c>
      <c r="P22" t="str">
        <f>P1</f>
        <v>Creichmon</v>
      </c>
    </row>
    <row r="23" spans="2:17" x14ac:dyDescent="0.25">
      <c r="B23" s="3">
        <f t="shared" ca="1" si="13"/>
        <v>3.550769441799384E-2</v>
      </c>
      <c r="C23" s="3">
        <f ca="1">RANK(B23,B$20:$B$23)</f>
        <v>4</v>
      </c>
      <c r="D23" t="s">
        <v>17</v>
      </c>
      <c r="P23" t="str">
        <f>P5</f>
        <v>Juan</v>
      </c>
    </row>
    <row r="24" spans="2:17" hidden="1" x14ac:dyDescent="0.25">
      <c r="P24" t="str">
        <f>P13</f>
        <v>Lauri</v>
      </c>
    </row>
    <row r="25" spans="2:17" hidden="1" x14ac:dyDescent="0.25">
      <c r="P25" t="str">
        <f>P12</f>
        <v>Calise</v>
      </c>
    </row>
    <row r="26" spans="2:17" hidden="1" x14ac:dyDescent="0.25"/>
    <row r="27" spans="2:17" hidden="1" x14ac:dyDescent="0.25"/>
    <row r="28" spans="2:17" hidden="1" x14ac:dyDescent="0.25">
      <c r="G28" t="s">
        <v>32</v>
      </c>
      <c r="H28">
        <f ca="1">SUMPRODUCT(COUNTIF(H$3:H$7,$P$19:$P$20))</f>
        <v>0</v>
      </c>
      <c r="I28">
        <f t="shared" ref="I28:K28" ca="1" si="14">SUMPRODUCT(COUNTIF(I$3:I$7,$P$19:$P$20))</f>
        <v>0</v>
      </c>
      <c r="J28">
        <f t="shared" ca="1" si="14"/>
        <v>0</v>
      </c>
      <c r="K28">
        <f t="shared" ca="1" si="14"/>
        <v>0</v>
      </c>
    </row>
    <row r="29" spans="2:17" hidden="1" x14ac:dyDescent="0.25">
      <c r="G29" t="s">
        <v>33</v>
      </c>
      <c r="H29">
        <f ca="1">SUMPRODUCT(COUNTIF(H$3:H$7,$Q$19:$Q$20))</f>
        <v>0</v>
      </c>
      <c r="I29">
        <f t="shared" ref="I29:K29" ca="1" si="15">SUMPRODUCT(COUNTIF(I$3:I$7,$Q$19:$Q$20))</f>
        <v>1</v>
      </c>
      <c r="J29">
        <f t="shared" ca="1" si="15"/>
        <v>0</v>
      </c>
      <c r="K29">
        <f t="shared" ca="1" si="15"/>
        <v>1</v>
      </c>
      <c r="L29" t="b">
        <f t="shared" ref="L29" ca="1" si="16">MAX(H29:K29)&lt;2</f>
        <v>1</v>
      </c>
    </row>
    <row r="30" spans="2:17" hidden="1" x14ac:dyDescent="0.25"/>
    <row r="31" spans="2:17" hidden="1" x14ac:dyDescent="0.25"/>
    <row r="32" spans="2:17" hidden="1" x14ac:dyDescent="0.25"/>
  </sheetData>
  <sortState ref="P1:Q16">
    <sortCondition ref="Q1:Q16"/>
  </sortState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Mariano Soukop</dc:creator>
  <cp:lastModifiedBy>Bernie Pedrazzini</cp:lastModifiedBy>
  <dcterms:created xsi:type="dcterms:W3CDTF">2016-07-12T15:51:22Z</dcterms:created>
  <dcterms:modified xsi:type="dcterms:W3CDTF">2016-07-22T12:38:18Z</dcterms:modified>
</cp:coreProperties>
</file>